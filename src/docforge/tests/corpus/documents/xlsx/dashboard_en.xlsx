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 xmlns:r="http://schemas.openxmlformats.org/officeDocument/2006/relationships" name="Summary" sheetId="2" state="visible" r:id="rId2"/>
    <sheet xmlns:r="http://schemas.openxmlformats.org/officeDocument/2006/relationships" name="Commentary" sheetId="3" state="visible" r:id="rId3"/>
    <sheet xmlns:r="http://schemas.openxmlformats.org/officeDocument/2006/relationships" name="Visual" sheetId="4" state="visible" r:id="rId4"/>
  </sheets>
  <definedNames/>
  <calcPr calcId="124519" fullCalcOnLoad="1"/>
</workbook>
</file>

<file path=xl/styles.xml><?xml version="1.0" encoding="utf-8"?>
<styleSheet xmlns="http://schemas.openxmlformats.org/spreadsheetml/2006/main">
  <numFmts count="1">
    <numFmt numFmtId="164" formatCode="0.0%"/>
  </numFmts>
  <fonts count="4">
    <font>
      <name val="Calibri"/>
      <family val="2"/>
      <color theme="1"/>
      <sz val="11"/>
      <scheme val="minor"/>
    </font>
    <font>
      <b val="1"/>
      <sz val="14"/>
    </font>
    <font>
      <b val="1"/>
      <color rgb="00FFFFFF"/>
    </font>
    <font>
      <b val="1"/>
    </font>
  </fonts>
  <fills count="3">
    <fill>
      <patternFill/>
    </fill>
    <fill>
      <patternFill patternType="gray125"/>
    </fill>
    <fill>
      <patternFill patternType="solid">
        <fgColor rgb="004F46E5"/>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11">
    <xf numFmtId="0" fontId="0" fillId="0" borderId="0" pivotButton="0" quotePrefix="0" xfId="0"/>
    <xf numFmtId="0" fontId="1" fillId="0" borderId="0" applyAlignment="1" pivotButton="0" quotePrefix="0" xfId="0">
      <alignment horizontal="center"/>
    </xf>
    <xf numFmtId="0" fontId="2" fillId="2" borderId="1" pivotButton="0" quotePrefix="0" xfId="0"/>
    <xf numFmtId="0" fontId="0" fillId="0" borderId="1" pivotButton="0" quotePrefix="0" xfId="0"/>
    <xf numFmtId="3" fontId="0" fillId="0" borderId="1" pivotButton="0" quotePrefix="0" xfId="0"/>
    <xf numFmtId="164" fontId="0" fillId="0" borderId="1" pivotButton="0" quotePrefix="0" xfId="0"/>
    <xf numFmtId="1" fontId="0" fillId="0" borderId="1" pivotButton="0" quotePrefix="0" xfId="0"/>
    <xf numFmtId="0" fontId="3" fillId="0" borderId="0" pivotButton="0" quotePrefix="0" xfId="0"/>
    <xf numFmtId="0" fontId="1" fillId="0" borderId="0" pivotButton="0" quotePrefix="0" xfId="0"/>
    <xf numFmtId="4"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Revenu vs Coût</a:t>
            </a:r>
          </a:p>
        </rich>
      </tx>
    </title>
    <plotArea>
      <barChart>
        <barDir val="col"/>
        <grouping val="clustered"/>
        <ser>
          <idx val="0"/>
          <order val="0"/>
          <tx>
            <strRef>
              <f>'Data'!C2</f>
            </strRef>
          </tx>
          <spPr>
            <a:ln xmlns:a="http://schemas.openxmlformats.org/drawingml/2006/main">
              <a:prstDash val="solid"/>
            </a:ln>
          </spPr>
          <cat>
            <numRef>
              <f>'Data'!$A$3:$A$14</f>
            </numRef>
          </cat>
          <val>
            <numRef>
              <f>'Data'!$C$3:$C$14</f>
            </numRef>
          </val>
        </ser>
        <ser>
          <idx val="1"/>
          <order val="1"/>
          <tx>
            <strRef>
              <f>'Data'!D2</f>
            </strRef>
          </tx>
          <spPr>
            <a:ln xmlns:a="http://schemas.openxmlformats.org/drawingml/2006/main">
              <a:prstDash val="solid"/>
            </a:ln>
          </spPr>
          <cat>
            <numRef>
              <f>'Data'!$A$3:$A$14</f>
            </numRef>
          </cat>
          <val>
            <numRef>
              <f>'Data'!$D$3:$D$14</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Tendance</a:t>
            </a:r>
          </a:p>
        </rich>
      </tx>
    </title>
    <plotArea>
      <lineChart>
        <grouping val="standard"/>
        <ser>
          <idx val="0"/>
          <order val="0"/>
          <tx>
            <strRef>
              <f>'Data'!C2</f>
            </strRef>
          </tx>
          <spPr>
            <a:ln xmlns:a="http://schemas.openxmlformats.org/drawingml/2006/main">
              <a:prstDash val="solid"/>
            </a:ln>
          </spPr>
          <marker>
            <symbol val="none"/>
            <spPr>
              <a:ln xmlns:a="http://schemas.openxmlformats.org/drawingml/2006/main">
                <a:prstDash val="solid"/>
              </a:ln>
            </spPr>
          </marker>
          <val>
            <numRef>
              <f>'Data'!$C$3:$C$14</f>
            </numRef>
          </val>
        </ser>
        <ser>
          <idx val="1"/>
          <order val="1"/>
          <tx>
            <strRef>
              <f>'Data'!D2</f>
            </strRef>
          </tx>
          <spPr>
            <a:ln xmlns:a="http://schemas.openxmlformats.org/drawingml/2006/main">
              <a:prstDash val="solid"/>
            </a:ln>
          </spPr>
          <marker>
            <symbol val="none"/>
            <spPr>
              <a:ln xmlns:a="http://schemas.openxmlformats.org/drawingml/2006/main">
                <a:prstDash val="solid"/>
              </a:ln>
            </spPr>
          </marker>
          <val>
            <numRef>
              <f>'Data'!$D$3:$D$14</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image" Target="/xl/media/image1.png" Id="rId3"/></Relationships>
</file>

<file path=xl/drawings/drawing1.xml><?xml version="1.0" encoding="utf-8"?>
<wsDr xmlns="http://schemas.openxmlformats.org/drawingml/2006/spreadsheetDrawing">
  <oneCellAnchor>
    <from>
      <col>0</col>
      <colOff>0</colOff>
      <row>2</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19</row>
      <rowOff>0</rowOff>
    </from>
    <ext cx="5400000" cy="270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10</col>
      <colOff>0</colOff>
      <row>2</row>
      <rowOff>0</rowOff>
    </from>
    <ext cx="6096000" cy="36195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F51"/>
  <sheetViews>
    <sheetView workbookViewId="0">
      <pane ySplit="2" topLeftCell="A3" activePane="bottomLeft" state="frozen"/>
      <selection pane="bottomLeft" activeCell="A1" sqref="A1"/>
    </sheetView>
  </sheetViews>
  <sheetFormatPr baseColWidth="8" defaultRowHeight="15"/>
  <sheetData>
    <row r="1">
      <c r="A1" s="1" t="inlineStr">
        <is>
          <t>Annual Activity and Digital Performance Report — a sustained growth trajectory despite pressure on margins.</t>
        </is>
      </c>
    </row>
    <row r="2">
      <c r="A2" s="2" t="inlineStr">
        <is>
          <t>Période</t>
        </is>
      </c>
      <c r="B2" s="2" t="inlineStr">
        <is>
          <t>Region</t>
        </is>
      </c>
      <c r="C2" s="2" t="inlineStr">
        <is>
          <t>Revenue</t>
        </is>
      </c>
      <c r="D2" s="2" t="inlineStr">
        <is>
          <t>Gross margin</t>
        </is>
      </c>
      <c r="E2" s="2" t="inlineStr">
        <is>
          <t>Growth</t>
        </is>
      </c>
      <c r="F2" s="2" t="inlineStr">
        <is>
          <t>Headcount</t>
        </is>
      </c>
    </row>
    <row r="3">
      <c r="A3" s="3" t="inlineStr">
        <is>
          <t>2026-01</t>
        </is>
      </c>
      <c r="B3" s="3" t="inlineStr">
        <is>
          <t>Europe</t>
        </is>
      </c>
      <c r="C3" s="4" t="n">
        <v>1037</v>
      </c>
      <c r="D3" s="4" t="n">
        <v>413</v>
      </c>
      <c r="E3" s="5" t="n">
        <v>0.01</v>
      </c>
      <c r="F3" s="6" t="n">
        <v>20</v>
      </c>
    </row>
    <row r="4">
      <c r="A4" s="3" t="inlineStr">
        <is>
          <t>2026-01</t>
        </is>
      </c>
      <c r="B4" s="3" t="inlineStr">
        <is>
          <t>Americas</t>
        </is>
      </c>
      <c r="C4" s="4" t="n">
        <v>1048</v>
      </c>
      <c r="D4" s="4" t="n">
        <v>420</v>
      </c>
      <c r="E4" s="5" t="n">
        <v>0.02</v>
      </c>
      <c r="F4" s="6" t="n">
        <v>21</v>
      </c>
    </row>
    <row r="5">
      <c r="A5" s="3" t="inlineStr">
        <is>
          <t>2026-01</t>
        </is>
      </c>
      <c r="B5" s="3" t="inlineStr">
        <is>
          <t>Asia-Pacific</t>
        </is>
      </c>
      <c r="C5" s="4" t="n">
        <v>1059</v>
      </c>
      <c r="D5" s="4" t="n">
        <v>427</v>
      </c>
      <c r="E5" s="5" t="n">
        <v>0.03</v>
      </c>
      <c r="F5" s="6" t="n">
        <v>22</v>
      </c>
    </row>
    <row r="6">
      <c r="A6" s="3" t="inlineStr">
        <is>
          <t>2026-01</t>
        </is>
      </c>
      <c r="B6" s="3" t="inlineStr">
        <is>
          <t>Rest of world</t>
        </is>
      </c>
      <c r="C6" s="4" t="n">
        <v>1070</v>
      </c>
      <c r="D6" s="4" t="n">
        <v>434</v>
      </c>
      <c r="E6" s="5" t="n">
        <v>0.04</v>
      </c>
      <c r="F6" s="6" t="n">
        <v>23</v>
      </c>
    </row>
    <row r="7">
      <c r="A7" s="3" t="inlineStr">
        <is>
          <t>2026-02</t>
        </is>
      </c>
      <c r="B7" s="3" t="inlineStr">
        <is>
          <t>Europe</t>
        </is>
      </c>
      <c r="C7" s="4" t="n">
        <v>1074</v>
      </c>
      <c r="D7" s="4" t="n">
        <v>426</v>
      </c>
      <c r="E7" s="5" t="n">
        <v>0.02</v>
      </c>
      <c r="F7" s="6" t="n">
        <v>20</v>
      </c>
    </row>
    <row r="8">
      <c r="A8" s="3" t="inlineStr">
        <is>
          <t>2026-02</t>
        </is>
      </c>
      <c r="B8" s="3" t="inlineStr">
        <is>
          <t>Americas</t>
        </is>
      </c>
      <c r="C8" s="4" t="n">
        <v>1085</v>
      </c>
      <c r="D8" s="4" t="n">
        <v>433</v>
      </c>
      <c r="E8" s="5" t="n">
        <v>0.03</v>
      </c>
      <c r="F8" s="6" t="n">
        <v>21</v>
      </c>
    </row>
    <row r="9">
      <c r="A9" s="3" t="inlineStr">
        <is>
          <t>2026-02</t>
        </is>
      </c>
      <c r="B9" s="3" t="inlineStr">
        <is>
          <t>Asia-Pacific</t>
        </is>
      </c>
      <c r="C9" s="4" t="n">
        <v>1096</v>
      </c>
      <c r="D9" s="4" t="n">
        <v>440</v>
      </c>
      <c r="E9" s="5" t="n">
        <v>0.04</v>
      </c>
      <c r="F9" s="6" t="n">
        <v>22</v>
      </c>
    </row>
    <row r="10">
      <c r="A10" s="3" t="inlineStr">
        <is>
          <t>2026-02</t>
        </is>
      </c>
      <c r="B10" s="3" t="inlineStr">
        <is>
          <t>Rest of world</t>
        </is>
      </c>
      <c r="C10" s="4" t="n">
        <v>1107</v>
      </c>
      <c r="D10" s="4" t="n">
        <v>447</v>
      </c>
      <c r="E10" s="5" t="n">
        <v>0.05</v>
      </c>
      <c r="F10" s="6" t="n">
        <v>23</v>
      </c>
    </row>
    <row r="11">
      <c r="A11" s="3" t="inlineStr">
        <is>
          <t>2026-03</t>
        </is>
      </c>
      <c r="B11" s="3" t="inlineStr">
        <is>
          <t>Europe</t>
        </is>
      </c>
      <c r="C11" s="4" t="n">
        <v>1111</v>
      </c>
      <c r="D11" s="4" t="n">
        <v>439</v>
      </c>
      <c r="E11" s="5" t="n">
        <v>0.03</v>
      </c>
      <c r="F11" s="6" t="n">
        <v>20</v>
      </c>
    </row>
    <row r="12">
      <c r="A12" s="3" t="inlineStr">
        <is>
          <t>2026-03</t>
        </is>
      </c>
      <c r="B12" s="3" t="inlineStr">
        <is>
          <t>Americas</t>
        </is>
      </c>
      <c r="C12" s="4" t="n">
        <v>1122</v>
      </c>
      <c r="D12" s="4" t="n">
        <v>446</v>
      </c>
      <c r="E12" s="5" t="n">
        <v>0.04</v>
      </c>
      <c r="F12" s="6" t="n">
        <v>21</v>
      </c>
    </row>
    <row r="13">
      <c r="A13" s="3" t="inlineStr">
        <is>
          <t>2026-03</t>
        </is>
      </c>
      <c r="B13" s="3" t="inlineStr">
        <is>
          <t>Asia-Pacific</t>
        </is>
      </c>
      <c r="C13" s="4" t="n">
        <v>1133</v>
      </c>
      <c r="D13" s="4" t="n">
        <v>453</v>
      </c>
      <c r="E13" s="5" t="n">
        <v>0.05</v>
      </c>
      <c r="F13" s="6" t="n">
        <v>22</v>
      </c>
    </row>
    <row r="14">
      <c r="A14" s="3" t="inlineStr">
        <is>
          <t>2026-03</t>
        </is>
      </c>
      <c r="B14" s="3" t="inlineStr">
        <is>
          <t>Rest of world</t>
        </is>
      </c>
      <c r="C14" s="4" t="n">
        <v>1144</v>
      </c>
      <c r="D14" s="4" t="n">
        <v>460</v>
      </c>
      <c r="E14" s="5" t="n">
        <v>0.06</v>
      </c>
      <c r="F14" s="6" t="n">
        <v>23</v>
      </c>
    </row>
    <row r="15">
      <c r="A15" s="3" t="inlineStr">
        <is>
          <t>2026-04</t>
        </is>
      </c>
      <c r="B15" s="3" t="inlineStr">
        <is>
          <t>Europe</t>
        </is>
      </c>
      <c r="C15" s="4" t="n">
        <v>1148</v>
      </c>
      <c r="D15" s="4" t="n">
        <v>452</v>
      </c>
      <c r="E15" s="5" t="n">
        <v>0.04</v>
      </c>
      <c r="F15" s="6" t="n">
        <v>20</v>
      </c>
    </row>
    <row r="16">
      <c r="A16" s="3" t="inlineStr">
        <is>
          <t>2026-04</t>
        </is>
      </c>
      <c r="B16" s="3" t="inlineStr">
        <is>
          <t>Americas</t>
        </is>
      </c>
      <c r="C16" s="4" t="n">
        <v>1159</v>
      </c>
      <c r="D16" s="4" t="n">
        <v>459</v>
      </c>
      <c r="E16" s="5" t="n">
        <v>0.05</v>
      </c>
      <c r="F16" s="6" t="n">
        <v>21</v>
      </c>
    </row>
    <row r="17">
      <c r="A17" s="3" t="inlineStr">
        <is>
          <t>2026-04</t>
        </is>
      </c>
      <c r="B17" s="3" t="inlineStr">
        <is>
          <t>Asia-Pacific</t>
        </is>
      </c>
      <c r="C17" s="4" t="n">
        <v>1170</v>
      </c>
      <c r="D17" s="4" t="n">
        <v>466</v>
      </c>
      <c r="E17" s="5" t="n">
        <v>0.06</v>
      </c>
      <c r="F17" s="6" t="n">
        <v>22</v>
      </c>
    </row>
    <row r="18">
      <c r="A18" s="3" t="inlineStr">
        <is>
          <t>2026-04</t>
        </is>
      </c>
      <c r="B18" s="3" t="inlineStr">
        <is>
          <t>Rest of world</t>
        </is>
      </c>
      <c r="C18" s="4" t="n">
        <v>1181</v>
      </c>
      <c r="D18" s="4" t="n">
        <v>473</v>
      </c>
      <c r="E18" s="5" t="n">
        <v>0.07000000000000001</v>
      </c>
      <c r="F18" s="6" t="n">
        <v>23</v>
      </c>
    </row>
    <row r="19">
      <c r="A19" s="3" t="inlineStr">
        <is>
          <t>2026-05</t>
        </is>
      </c>
      <c r="B19" s="3" t="inlineStr">
        <is>
          <t>Europe</t>
        </is>
      </c>
      <c r="C19" s="4" t="n">
        <v>1185</v>
      </c>
      <c r="D19" s="4" t="n">
        <v>465</v>
      </c>
      <c r="E19" s="5" t="n">
        <v>0.05</v>
      </c>
      <c r="F19" s="6" t="n">
        <v>20</v>
      </c>
    </row>
    <row r="20">
      <c r="A20" s="3" t="inlineStr">
        <is>
          <t>2026-05</t>
        </is>
      </c>
      <c r="B20" s="3" t="inlineStr">
        <is>
          <t>Americas</t>
        </is>
      </c>
      <c r="C20" s="4" t="n">
        <v>1196</v>
      </c>
      <c r="D20" s="4" t="n">
        <v>472</v>
      </c>
      <c r="E20" s="5" t="n">
        <v>0.06</v>
      </c>
      <c r="F20" s="6" t="n">
        <v>21</v>
      </c>
    </row>
    <row r="21">
      <c r="A21" s="3" t="inlineStr">
        <is>
          <t>2026-05</t>
        </is>
      </c>
      <c r="B21" s="3" t="inlineStr">
        <is>
          <t>Asia-Pacific</t>
        </is>
      </c>
      <c r="C21" s="4" t="n">
        <v>1207</v>
      </c>
      <c r="D21" s="4" t="n">
        <v>479</v>
      </c>
      <c r="E21" s="5" t="n">
        <v>0.07000000000000001</v>
      </c>
      <c r="F21" s="6" t="n">
        <v>22</v>
      </c>
    </row>
    <row r="22">
      <c r="A22" s="3" t="inlineStr">
        <is>
          <t>2026-05</t>
        </is>
      </c>
      <c r="B22" s="3" t="inlineStr">
        <is>
          <t>Rest of world</t>
        </is>
      </c>
      <c r="C22" s="4" t="n">
        <v>1218</v>
      </c>
      <c r="D22" s="4" t="n">
        <v>486</v>
      </c>
      <c r="E22" s="5" t="n">
        <v>0.08</v>
      </c>
      <c r="F22" s="6" t="n">
        <v>23</v>
      </c>
    </row>
    <row r="23">
      <c r="A23" s="3" t="inlineStr">
        <is>
          <t>2026-06</t>
        </is>
      </c>
      <c r="B23" s="3" t="inlineStr">
        <is>
          <t>Europe</t>
        </is>
      </c>
      <c r="C23" s="4" t="n">
        <v>1222</v>
      </c>
      <c r="D23" s="4" t="n">
        <v>478</v>
      </c>
      <c r="E23" s="5" t="n">
        <v>0.06</v>
      </c>
      <c r="F23" s="6" t="n">
        <v>20</v>
      </c>
    </row>
    <row r="24">
      <c r="A24" s="3" t="inlineStr">
        <is>
          <t>2026-06</t>
        </is>
      </c>
      <c r="B24" s="3" t="inlineStr">
        <is>
          <t>Americas</t>
        </is>
      </c>
      <c r="C24" s="4" t="n">
        <v>1233</v>
      </c>
      <c r="D24" s="4" t="n">
        <v>485</v>
      </c>
      <c r="E24" s="5" t="n">
        <v>0.07000000000000001</v>
      </c>
      <c r="F24" s="6" t="n">
        <v>21</v>
      </c>
    </row>
    <row r="25">
      <c r="A25" s="3" t="inlineStr">
        <is>
          <t>2026-06</t>
        </is>
      </c>
      <c r="B25" s="3" t="inlineStr">
        <is>
          <t>Asia-Pacific</t>
        </is>
      </c>
      <c r="C25" s="4" t="n">
        <v>1244</v>
      </c>
      <c r="D25" s="4" t="n">
        <v>492</v>
      </c>
      <c r="E25" s="5" t="n">
        <v>0.08</v>
      </c>
      <c r="F25" s="6" t="n">
        <v>22</v>
      </c>
    </row>
    <row r="26">
      <c r="A26" s="3" t="inlineStr">
        <is>
          <t>2026-06</t>
        </is>
      </c>
      <c r="B26" s="3" t="inlineStr">
        <is>
          <t>Rest of world</t>
        </is>
      </c>
      <c r="C26" s="4" t="n">
        <v>1255</v>
      </c>
      <c r="D26" s="4" t="n">
        <v>499</v>
      </c>
      <c r="E26" s="5" t="n">
        <v>0.09</v>
      </c>
      <c r="F26" s="6" t="n">
        <v>23</v>
      </c>
    </row>
    <row r="27">
      <c r="A27" s="3" t="inlineStr">
        <is>
          <t>2026-07</t>
        </is>
      </c>
      <c r="B27" s="3" t="inlineStr">
        <is>
          <t>Europe</t>
        </is>
      </c>
      <c r="C27" s="4" t="n">
        <v>1259</v>
      </c>
      <c r="D27" s="4" t="n">
        <v>491</v>
      </c>
      <c r="E27" s="5" t="n">
        <v>0.07000000000000001</v>
      </c>
      <c r="F27" s="6" t="n">
        <v>20</v>
      </c>
    </row>
    <row r="28">
      <c r="A28" s="3" t="inlineStr">
        <is>
          <t>2026-07</t>
        </is>
      </c>
      <c r="B28" s="3" t="inlineStr">
        <is>
          <t>Americas</t>
        </is>
      </c>
      <c r="C28" s="4" t="n">
        <v>1270</v>
      </c>
      <c r="D28" s="4" t="n">
        <v>498</v>
      </c>
      <c r="E28" s="5" t="n">
        <v>0.08</v>
      </c>
      <c r="F28" s="6" t="n">
        <v>21</v>
      </c>
    </row>
    <row r="29">
      <c r="A29" s="3" t="inlineStr">
        <is>
          <t>2026-07</t>
        </is>
      </c>
      <c r="B29" s="3" t="inlineStr">
        <is>
          <t>Asia-Pacific</t>
        </is>
      </c>
      <c r="C29" s="4" t="n">
        <v>1281</v>
      </c>
      <c r="D29" s="4" t="n">
        <v>505</v>
      </c>
      <c r="E29" s="5" t="n">
        <v>0.09</v>
      </c>
      <c r="F29" s="6" t="n">
        <v>22</v>
      </c>
    </row>
    <row r="30">
      <c r="A30" s="3" t="inlineStr">
        <is>
          <t>2026-07</t>
        </is>
      </c>
      <c r="B30" s="3" t="inlineStr">
        <is>
          <t>Rest of world</t>
        </is>
      </c>
      <c r="C30" s="4" t="n">
        <v>1292</v>
      </c>
      <c r="D30" s="4" t="n">
        <v>512</v>
      </c>
      <c r="E30" s="5" t="n">
        <v>0.1</v>
      </c>
      <c r="F30" s="6" t="n">
        <v>23</v>
      </c>
    </row>
    <row r="31">
      <c r="A31" s="3" t="inlineStr">
        <is>
          <t>2026-08</t>
        </is>
      </c>
      <c r="B31" s="3" t="inlineStr">
        <is>
          <t>Europe</t>
        </is>
      </c>
      <c r="C31" s="4" t="n">
        <v>1296</v>
      </c>
      <c r="D31" s="4" t="n">
        <v>504</v>
      </c>
      <c r="E31" s="5" t="n">
        <v>0.08</v>
      </c>
      <c r="F31" s="6" t="n">
        <v>20</v>
      </c>
    </row>
    <row r="32">
      <c r="A32" s="3" t="inlineStr">
        <is>
          <t>2026-08</t>
        </is>
      </c>
      <c r="B32" s="3" t="inlineStr">
        <is>
          <t>Americas</t>
        </is>
      </c>
      <c r="C32" s="4" t="n">
        <v>1307</v>
      </c>
      <c r="D32" s="4" t="n">
        <v>511</v>
      </c>
      <c r="E32" s="5" t="n">
        <v>0.09</v>
      </c>
      <c r="F32" s="6" t="n">
        <v>21</v>
      </c>
    </row>
    <row r="33">
      <c r="A33" s="3" t="inlineStr">
        <is>
          <t>2026-08</t>
        </is>
      </c>
      <c r="B33" s="3" t="inlineStr">
        <is>
          <t>Asia-Pacific</t>
        </is>
      </c>
      <c r="C33" s="4" t="n">
        <v>1318</v>
      </c>
      <c r="D33" s="4" t="n">
        <v>518</v>
      </c>
      <c r="E33" s="5" t="n">
        <v>0.1</v>
      </c>
      <c r="F33" s="6" t="n">
        <v>22</v>
      </c>
    </row>
    <row r="34">
      <c r="A34" s="3" t="inlineStr">
        <is>
          <t>2026-08</t>
        </is>
      </c>
      <c r="B34" s="3" t="inlineStr">
        <is>
          <t>Rest of world</t>
        </is>
      </c>
      <c r="C34" s="4" t="n">
        <v>1329</v>
      </c>
      <c r="D34" s="4" t="n">
        <v>525</v>
      </c>
      <c r="E34" s="5" t="n">
        <v>0.11</v>
      </c>
      <c r="F34" s="6" t="n">
        <v>23</v>
      </c>
    </row>
    <row r="35">
      <c r="A35" s="3" t="inlineStr">
        <is>
          <t>2026-09</t>
        </is>
      </c>
      <c r="B35" s="3" t="inlineStr">
        <is>
          <t>Europe</t>
        </is>
      </c>
      <c r="C35" s="4" t="n">
        <v>1333</v>
      </c>
      <c r="D35" s="4" t="n">
        <v>517</v>
      </c>
      <c r="E35" s="5" t="n">
        <v>0.09</v>
      </c>
      <c r="F35" s="6" t="n">
        <v>20</v>
      </c>
    </row>
    <row r="36">
      <c r="A36" s="3" t="inlineStr">
        <is>
          <t>2026-09</t>
        </is>
      </c>
      <c r="B36" s="3" t="inlineStr">
        <is>
          <t>Americas</t>
        </is>
      </c>
      <c r="C36" s="4" t="n">
        <v>1344</v>
      </c>
      <c r="D36" s="4" t="n">
        <v>524</v>
      </c>
      <c r="E36" s="5" t="n">
        <v>0.1</v>
      </c>
      <c r="F36" s="6" t="n">
        <v>21</v>
      </c>
    </row>
    <row r="37">
      <c r="A37" s="3" t="inlineStr">
        <is>
          <t>2026-09</t>
        </is>
      </c>
      <c r="B37" s="3" t="inlineStr">
        <is>
          <t>Asia-Pacific</t>
        </is>
      </c>
      <c r="C37" s="4" t="n">
        <v>1355</v>
      </c>
      <c r="D37" s="4" t="n">
        <v>531</v>
      </c>
      <c r="E37" s="5" t="n">
        <v>0.11</v>
      </c>
      <c r="F37" s="6" t="n">
        <v>22</v>
      </c>
    </row>
    <row r="38">
      <c r="A38" s="3" t="inlineStr">
        <is>
          <t>2026-09</t>
        </is>
      </c>
      <c r="B38" s="3" t="inlineStr">
        <is>
          <t>Rest of world</t>
        </is>
      </c>
      <c r="C38" s="4" t="n">
        <v>1366</v>
      </c>
      <c r="D38" s="4" t="n">
        <v>538</v>
      </c>
      <c r="E38" s="5" t="n">
        <v>0.12</v>
      </c>
      <c r="F38" s="6" t="n">
        <v>23</v>
      </c>
    </row>
    <row r="39">
      <c r="A39" s="3" t="inlineStr">
        <is>
          <t>2026-10</t>
        </is>
      </c>
      <c r="B39" s="3" t="inlineStr">
        <is>
          <t>Europe</t>
        </is>
      </c>
      <c r="C39" s="4" t="n">
        <v>1370</v>
      </c>
      <c r="D39" s="4" t="n">
        <v>530</v>
      </c>
      <c r="E39" s="5" t="n">
        <v>0.1</v>
      </c>
      <c r="F39" s="6" t="n">
        <v>20</v>
      </c>
    </row>
    <row r="40">
      <c r="A40" s="3" t="inlineStr">
        <is>
          <t>2026-10</t>
        </is>
      </c>
      <c r="B40" s="3" t="inlineStr">
        <is>
          <t>Americas</t>
        </is>
      </c>
      <c r="C40" s="4" t="n">
        <v>1381</v>
      </c>
      <c r="D40" s="4" t="n">
        <v>537</v>
      </c>
      <c r="E40" s="5" t="n">
        <v>0.11</v>
      </c>
      <c r="F40" s="6" t="n">
        <v>21</v>
      </c>
    </row>
    <row r="41">
      <c r="A41" s="3" t="inlineStr">
        <is>
          <t>2026-10</t>
        </is>
      </c>
      <c r="B41" s="3" t="inlineStr">
        <is>
          <t>Asia-Pacific</t>
        </is>
      </c>
      <c r="C41" s="4" t="n">
        <v>1392</v>
      </c>
      <c r="D41" s="4" t="n">
        <v>544</v>
      </c>
      <c r="E41" s="5" t="n">
        <v>0.12</v>
      </c>
      <c r="F41" s="6" t="n">
        <v>22</v>
      </c>
    </row>
    <row r="42">
      <c r="A42" s="3" t="inlineStr">
        <is>
          <t>2026-10</t>
        </is>
      </c>
      <c r="B42" s="3" t="inlineStr">
        <is>
          <t>Rest of world</t>
        </is>
      </c>
      <c r="C42" s="4" t="n">
        <v>1403</v>
      </c>
      <c r="D42" s="4" t="n">
        <v>551</v>
      </c>
      <c r="E42" s="5" t="n">
        <v>0.13</v>
      </c>
      <c r="F42" s="6" t="n">
        <v>23</v>
      </c>
    </row>
    <row r="43">
      <c r="A43" s="3" t="inlineStr">
        <is>
          <t>2026-11</t>
        </is>
      </c>
      <c r="B43" s="3" t="inlineStr">
        <is>
          <t>Europe</t>
        </is>
      </c>
      <c r="C43" s="4" t="n">
        <v>1407</v>
      </c>
      <c r="D43" s="4" t="n">
        <v>543</v>
      </c>
      <c r="E43" s="5" t="n">
        <v>0.11</v>
      </c>
      <c r="F43" s="6" t="n">
        <v>20</v>
      </c>
    </row>
    <row r="44">
      <c r="A44" s="3" t="inlineStr">
        <is>
          <t>2026-11</t>
        </is>
      </c>
      <c r="B44" s="3" t="inlineStr">
        <is>
          <t>Americas</t>
        </is>
      </c>
      <c r="C44" s="4" t="n">
        <v>1418</v>
      </c>
      <c r="D44" s="4" t="n">
        <v>550</v>
      </c>
      <c r="E44" s="5" t="n">
        <v>0.12</v>
      </c>
      <c r="F44" s="6" t="n">
        <v>21</v>
      </c>
    </row>
    <row r="45">
      <c r="A45" s="3" t="inlineStr">
        <is>
          <t>2026-11</t>
        </is>
      </c>
      <c r="B45" s="3" t="inlineStr">
        <is>
          <t>Asia-Pacific</t>
        </is>
      </c>
      <c r="C45" s="4" t="n">
        <v>1429</v>
      </c>
      <c r="D45" s="4" t="n">
        <v>557</v>
      </c>
      <c r="E45" s="5" t="n">
        <v>0.13</v>
      </c>
      <c r="F45" s="6" t="n">
        <v>22</v>
      </c>
    </row>
    <row r="46">
      <c r="A46" s="3" t="inlineStr">
        <is>
          <t>2026-11</t>
        </is>
      </c>
      <c r="B46" s="3" t="inlineStr">
        <is>
          <t>Rest of world</t>
        </is>
      </c>
      <c r="C46" s="4" t="n">
        <v>1440</v>
      </c>
      <c r="D46" s="4" t="n">
        <v>564</v>
      </c>
      <c r="E46" s="5" t="n">
        <v>0.14</v>
      </c>
      <c r="F46" s="6" t="n">
        <v>23</v>
      </c>
    </row>
    <row r="47">
      <c r="A47" s="3" t="inlineStr">
        <is>
          <t>2026-12</t>
        </is>
      </c>
      <c r="B47" s="3" t="inlineStr">
        <is>
          <t>Europe</t>
        </is>
      </c>
      <c r="C47" s="4" t="n">
        <v>1444</v>
      </c>
      <c r="D47" s="4" t="n">
        <v>556</v>
      </c>
      <c r="E47" s="5" t="n">
        <v>0.12</v>
      </c>
      <c r="F47" s="6" t="n">
        <v>20</v>
      </c>
    </row>
    <row r="48">
      <c r="A48" s="3" t="inlineStr">
        <is>
          <t>2026-12</t>
        </is>
      </c>
      <c r="B48" s="3" t="inlineStr">
        <is>
          <t>Americas</t>
        </is>
      </c>
      <c r="C48" s="4" t="n">
        <v>1455</v>
      </c>
      <c r="D48" s="4" t="n">
        <v>563</v>
      </c>
      <c r="E48" s="5" t="n">
        <v>0.13</v>
      </c>
      <c r="F48" s="6" t="n">
        <v>21</v>
      </c>
    </row>
    <row r="49">
      <c r="A49" s="3" t="inlineStr">
        <is>
          <t>2026-12</t>
        </is>
      </c>
      <c r="B49" s="3" t="inlineStr">
        <is>
          <t>Asia-Pacific</t>
        </is>
      </c>
      <c r="C49" s="4" t="n">
        <v>1466</v>
      </c>
      <c r="D49" s="4" t="n">
        <v>570</v>
      </c>
      <c r="E49" s="5" t="n">
        <v>0.14</v>
      </c>
      <c r="F49" s="6" t="n">
        <v>22</v>
      </c>
    </row>
    <row r="50">
      <c r="A50" s="3" t="inlineStr">
        <is>
          <t>2026-12</t>
        </is>
      </c>
      <c r="B50" s="3" t="inlineStr">
        <is>
          <t>Rest of world</t>
        </is>
      </c>
      <c r="C50" s="4" t="n">
        <v>1477</v>
      </c>
      <c r="D50" s="4" t="n">
        <v>577</v>
      </c>
      <c r="E50" s="5" t="n">
        <v>0.15</v>
      </c>
      <c r="F50" s="6" t="n">
        <v>23</v>
      </c>
    </row>
    <row r="51">
      <c r="A51" s="7" t="inlineStr">
        <is>
          <t>Σ</t>
        </is>
      </c>
      <c r="C51" s="7">
        <f>SUM(C3:C50)</f>
        <v/>
      </c>
      <c r="D51" s="7">
        <f>SUM(D3:D50)</f>
        <v/>
      </c>
      <c r="F51" s="7">
        <f>SUM(F3:F50)</f>
        <v/>
      </c>
    </row>
  </sheetData>
  <mergeCells count="1">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8" t="inlineStr">
        <is>
          <t>Detailed financial analysis</t>
        </is>
      </c>
    </row>
    <row r="3">
      <c r="A3" s="7" t="inlineStr">
        <is>
          <t>Total revenu</t>
        </is>
      </c>
      <c r="B3" s="9">
        <f>SUM('Data'.C3:C50)</f>
        <v/>
      </c>
    </row>
    <row r="4">
      <c r="A4" s="7" t="inlineStr">
        <is>
          <t>Total coût</t>
        </is>
      </c>
      <c r="B4" s="9">
        <f>SUM('Data'.D3:D50)</f>
        <v/>
      </c>
    </row>
    <row r="5">
      <c r="A5" s="7" t="inlineStr">
        <is>
          <t>Revenu moyen</t>
        </is>
      </c>
      <c r="B5" s="9">
        <f>AVERAGE('Data'.C3:C50)</f>
        <v/>
      </c>
    </row>
    <row r="6">
      <c r="A6" s="7" t="inlineStr">
        <is>
          <t>Lignes</t>
        </is>
      </c>
      <c r="B6" s="9">
        <f>COUNT('Data'.C3:C50)</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cols>
    <col width="120" customWidth="1" min="1" max="1"/>
  </cols>
  <sheetData>
    <row r="1">
      <c r="A1" s="8" t="inlineStr">
        <is>
          <t>Annual Activity and Digital Performance Report</t>
        </is>
      </c>
    </row>
    <row r="2">
      <c r="A2" s="10" t="inlineStr">
        <is>
          <t>This report presents a consolidated analysis of the past year's activity, places the financial and operational results in perspective against the stated objectives, and sets out recommendations intended to inform the strategic trade-offs to come.</t>
        </is>
      </c>
    </row>
    <row r="3">
      <c r="A3" s="10" t="inlineStr">
        <is>
          <t>Over the year, the company confirmed a sustained growth trajectory despite an uncertain macroeconomic environment marked by volatile input costs and increased pressure on margins, which was partly absorbed by productivity gains across the main operating units.</t>
        </is>
      </c>
    </row>
    <row r="4">
      <c r="A4" s="10" t="inlineStr">
        <is>
          <t>Commercial momentum was particularly strong in the European markets, where the roll-out of a packaged offering accelerated the sales cycle and significantly improved the conversion rate of qualified prospects into recurring customers with multi-year commitments.</t>
        </is>
      </c>
    </row>
    <row r="5">
      <c r="A5" s="10" t="inlineStr">
        <is>
          <t>From a financial standpoint, gross margin grows in absolute value while the margin rate contracts slightly under the effect of a deliberately aggressive pricing policy on the acquisition segments deemed strategic for the conquest of additional market share.</t>
        </is>
      </c>
    </row>
    <row r="6">
      <c r="A6" s="10" t="inlineStr">
        <is>
          <t>Digital transformation translated into the modernisation of the technical foundation, the rationalisation of the application portfolio and the industrialisation of the data processing chains, now governed by quality and freshness indicators measured continuously.</t>
        </is>
      </c>
    </row>
    <row r="7">
      <c r="A7" s="10" t="inlineStr">
        <is>
          <t>The operational risk map was updated; the main areas of exposure concern the dependence on a limited number of critical suppliers, cybersecurity and regulatory compliance, for which remediation plans have been initiated and are tracked at the operational committee.</t>
        </is>
      </c>
    </row>
    <row r="8">
      <c r="A8" s="10" t="inlineStr">
        <is>
          <t>The organisation continued to build capability with a sustained training effort, a strengthening of cross-functional functions and particular attention paid to the retention of scarce profiles whose contribution is decisive for the success of the projects.</t>
        </is>
      </c>
    </row>
    <row r="9">
      <c r="A9" s="10" t="inlineStr">
        <is>
          <t>Environmental commitments are progressing in line with the roadmap; reducing the carbon footprint of operations and extending the service life of equipment are the two most structuring levers in the short and medium term for the group as a whole.</t>
        </is>
      </c>
    </row>
    <row r="10">
      <c r="A10" s="10" t="inlineStr">
        <is>
          <t>The outlook for the coming year rests on consolidating the positions acquired, the controlled launch of new offerings and reinforced execution discipline, a necessary condition for the gradual restoration of the margin rate to its target level.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s="8" t="inlineStr">
        <is>
          <t>KPI</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2026-06-24T08:12:09Z</dcterms:created>
  <dcterms:modified xmlns:dcterms="http://purl.org/dc/terms/" xmlns:xsi="http://www.w3.org/2001/XMLSchema-instance" xsi:type="dcterms:W3CDTF">2026-06-24T08:12:09Z</dcterms:modified>
</cp:coreProperties>
</file>